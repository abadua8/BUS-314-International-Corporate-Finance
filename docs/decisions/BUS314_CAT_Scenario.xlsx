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att\Downloads\"/>
    </mc:Choice>
  </mc:AlternateContent>
  <xr:revisionPtr revIDLastSave="0" documentId="13_ncr:1_{091E2F2E-9035-4BE0-B9C5-2006806C98B0}" xr6:coauthVersionLast="47" xr6:coauthVersionMax="47" xr10:uidLastSave="{00000000-0000-0000-0000-000000000000}"/>
  <bookViews>
    <workbookView xWindow="-110" yWindow="-110" windowWidth="22780" windowHeight="1454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4" l="1"/>
  <c r="C85" i="4"/>
  <c r="C84" i="4"/>
  <c r="C83" i="4"/>
  <c r="C82" i="4"/>
  <c r="C80" i="4"/>
  <c r="C79" i="4"/>
  <c r="C78" i="4"/>
  <c r="C75" i="4"/>
  <c r="C74" i="4"/>
  <c r="C73" i="4"/>
  <c r="C72" i="4"/>
  <c r="C69" i="4"/>
  <c r="C68" i="4"/>
  <c r="C67" i="4"/>
  <c r="C66" i="4"/>
  <c r="C65" i="4"/>
  <c r="C64" i="4"/>
  <c r="C63" i="4"/>
  <c r="C60" i="4"/>
  <c r="C59" i="4"/>
  <c r="C58" i="4"/>
  <c r="C57" i="4"/>
  <c r="C56" i="4"/>
  <c r="C55" i="4"/>
  <c r="C54" i="4"/>
  <c r="C51" i="4"/>
  <c r="C50" i="4"/>
  <c r="C49" i="4"/>
  <c r="C48" i="4"/>
  <c r="C47" i="4"/>
  <c r="C46" i="4"/>
  <c r="C43" i="4"/>
  <c r="C42" i="4"/>
  <c r="C41" i="4"/>
  <c r="C12" i="3"/>
  <c r="C11" i="3"/>
  <c r="C10" i="3"/>
  <c r="C9" i="3"/>
  <c r="C8" i="3"/>
  <c r="C28" i="1"/>
  <c r="H28" i="1"/>
  <c r="H26" i="1"/>
  <c r="H18" i="1"/>
  <c r="H13" i="1"/>
  <c r="G28" i="1"/>
  <c r="G26" i="1"/>
  <c r="G18" i="1"/>
  <c r="G13" i="1"/>
  <c r="D14" i="2"/>
  <c r="D11" i="2"/>
  <c r="D7" i="2"/>
  <c r="C15" i="2"/>
  <c r="C12" i="2"/>
  <c r="C8" i="2"/>
  <c r="D22" i="1" l="1"/>
  <c r="C22" i="1"/>
  <c r="D14" i="1" l="1"/>
  <c r="C14" i="1"/>
  <c r="D10" i="1"/>
  <c r="C10" i="1"/>
  <c r="C27" i="1" s="1"/>
  <c r="C26" i="4"/>
  <c r="C25" i="4"/>
  <c r="C22" i="4"/>
  <c r="C20" i="4"/>
  <c r="C14" i="4"/>
  <c r="C13" i="4"/>
  <c r="C9" i="4"/>
  <c r="C28" i="3"/>
  <c r="C20" i="3"/>
  <c r="C13" i="3"/>
  <c r="C14" i="3" s="1"/>
  <c r="D18" i="2"/>
  <c r="D16" i="2"/>
  <c r="D13" i="2"/>
  <c r="D12" i="2"/>
  <c r="D10" i="2"/>
  <c r="D9" i="2"/>
  <c r="D8" i="2"/>
  <c r="D6" i="2"/>
  <c r="D5" i="2"/>
  <c r="D4" i="2"/>
  <c r="C12" i="4"/>
  <c r="C21" i="4"/>
  <c r="C24" i="4"/>
  <c r="C30" i="3" l="1"/>
  <c r="D27" i="1"/>
  <c r="C29" i="4"/>
  <c r="C15" i="4"/>
  <c r="C33" i="4"/>
  <c r="C27" i="4"/>
  <c r="C16" i="4"/>
  <c r="C35" i="4" s="1"/>
  <c r="C36" i="4"/>
  <c r="C23" i="4"/>
  <c r="C30" i="4" l="1"/>
  <c r="C17" i="2"/>
  <c r="D15" i="2"/>
  <c r="C28" i="4" l="1"/>
  <c r="C34" i="4" s="1"/>
  <c r="C19" i="4"/>
  <c r="C19" i="2"/>
  <c r="D19" i="2" s="1"/>
  <c r="D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6D580427-53ED-4F78-B558-2520F45AD87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SEC EDGAR earnings release, https://www.sec.gov/Archives/edgar/data/18230/000001823025000004/cat_exx991x4qx2024xearning.htm</t>
        </r>
      </text>
    </comment>
    <comment ref="D5" authorId="0" shapeId="0" xr:uid="{DCEA3422-4196-44FB-A0E9-3FD97419C9C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EDGAR, https://www.sec.gov/Archives/edgar/data/18230/000001823025000004/cat_exx991x4qx2024xearning.htm</t>
        </r>
      </text>
    </comment>
    <comment ref="G5" authorId="0" shapeId="0" xr:uid="{FE27CEE7-40D0-4CC7-906F-1539F8CD9D4E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EDGAR, https://www.sec.gov/Archives/edgar/data/18230/000001823025000008/cat-20241231.htm</t>
        </r>
      </text>
    </comment>
    <comment ref="H5" authorId="0" shapeId="0" xr:uid="{BD3D2B3A-8BED-4CE7-B279-64C9BCC8FA43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6" authorId="0" shapeId="0" xr:uid="{67506A2F-4CC7-439D-9788-8BBCC690F0E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SEC EDGAR earnings release, https://www.sec.gov/Archives/edgar/data/18230/000001823025000004/cat_exx991x4qx2024xearning.htm</t>
        </r>
      </text>
    </comment>
    <comment ref="D6" authorId="0" shapeId="0" xr:uid="{BFB0517E-D137-4726-B04B-EBE57FE8549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EDGAR, https://www.sec.gov/Archives/edgar/data/18230/000001823025000004/cat_exx991x4qx2024xearning.htm</t>
        </r>
      </text>
    </comment>
    <comment ref="G6" authorId="0" shapeId="0" xr:uid="{AD1B32B3-5E78-4C49-89FB-D5ADC156AE66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6" authorId="0" shapeId="0" xr:uid="{022F5D0B-3BBB-4897-99DF-2AE0A72D8FE1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7" authorId="0" shapeId="0" xr:uid="{07A7B5C9-6EF7-4059-81A6-4C8D1012BCC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SEC EDGAR earnings release, https://www.sec.gov/Archives/edgar/data/18230/000001823025000004/cat_exx991x4qx2024xearning.htm</t>
        </r>
      </text>
    </comment>
    <comment ref="D7" authorId="0" shapeId="0" xr:uid="{5DD7468B-141D-4B25-96DB-A00844E8AEB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EDGAR, https://www.sec.gov/Archives/edgar/data/18230/000001823025000004/cat_exx991x4qx2024xearning.htm</t>
        </r>
      </text>
    </comment>
    <comment ref="G7" authorId="0" shapeId="0" xr:uid="{B9BC9C48-F1C7-4666-992D-E554ECD602B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7" authorId="0" shapeId="0" xr:uid="{761089E3-28A6-416B-B053-5B5786B0BF7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8" authorId="0" shapeId="0" xr:uid="{04D6227F-3FAD-4583-AF01-59A753CBDC90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SEC EDGAR earnings release, https://www.sec.gov/Archives/edgar/data/18230/000001823025000004/cat_exx991x4qx2024xearning.htm</t>
        </r>
      </text>
    </comment>
    <comment ref="D8" authorId="0" shapeId="0" xr:uid="{28E28839-21D0-46C2-AAA7-967F3D8ABFE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EDGAR, https://www.sec.gov/Archives/edgar/data/18230/000001823025000004/cat_exx991x4qx2024xearning.htm</t>
        </r>
      </text>
    </comment>
    <comment ref="G8" authorId="0" shapeId="0" xr:uid="{6996A405-CE86-425C-BEDB-73FF0A9B63B7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8" authorId="0" shapeId="0" xr:uid="{A6655071-10DB-4AC6-B1D4-3250BF8EF4B2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9" authorId="0" shapeId="0" xr:uid="{6A422C1A-3A7B-4024-830F-C8358C88DD7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prepaid expenses and other current assets, SEC EDGAR, https://www.sec.gov/Archives/edgar/data/18230/000001823025000004/cat_exx991x4qx2024xearning.htm</t>
        </r>
      </text>
    </comment>
    <comment ref="D9" authorId="0" shapeId="0" xr:uid="{01BE9FAD-1AFE-4B81-B624-0F1C70063BE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prepaid expenses and other current assets, SEC EDGAR</t>
        </r>
      </text>
    </comment>
    <comment ref="G9" authorId="0" shapeId="0" xr:uid="{E3A0214C-B5E3-465B-8649-CBA4A7C10720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9" authorId="0" shapeId="0" xr:uid="{F2B57A7F-6873-47AD-A71F-C5432212DA8E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G10" authorId="0" shapeId="0" xr:uid="{6DE17B6C-3BBF-4B4D-AB3B-0DE500BBB241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0" authorId="0" shapeId="0" xr:uid="{7E23809B-DF22-4AD8-A50D-867B0DA36694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G11" authorId="0" shapeId="0" xr:uid="{B4D7E2BD-6A27-4687-8CBA-05950E3709CF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1" authorId="0" shapeId="0" xr:uid="{0D7B9292-6068-4C46-8A31-1C1DE8F9AA5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12" authorId="0" shapeId="0" xr:uid="{9FBDF98A-EE8C-4BFC-8311-52F78FC73E8A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 (gross PP&amp;E), SEC EDGAR 10-K filing, https://www.sec.gov/Archives/edgar/data/18230/000001823025000008/cat-20241231.htm</t>
        </r>
      </text>
    </comment>
    <comment ref="D12" authorId="0" shapeId="0" xr:uid="{66AC444D-CD87-4BB1-9C51-AECE0AF79DE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 (gross PP&amp;E), SEC EDGAR</t>
        </r>
      </text>
    </comment>
    <comment ref="G12" authorId="0" shapeId="0" xr:uid="{24CAE528-254E-4E42-959D-E1A5C3F3713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2" authorId="0" shapeId="0" xr:uid="{525C74F2-BF24-4269-B0B9-DEA87E658FC8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13" authorId="0" shapeId="0" xr:uid="{8C44F06D-F0E8-414F-963D-BF341FB723F1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 (accumulated depreciation), SEC EDGAR 10-K filing</t>
        </r>
      </text>
    </comment>
    <comment ref="D13" authorId="0" shapeId="0" xr:uid="{E2C57D49-6721-4134-B420-41E6672B469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 (accumulated depreciation), SEC EDGAR</t>
        </r>
      </text>
    </comment>
    <comment ref="G15" authorId="0" shapeId="0" xr:uid="{CAE32DF5-2380-42A6-9EA8-F9781A70B2F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5" authorId="0" shapeId="0" xr:uid="{91FF2D9E-FD8A-4456-A01C-D53E88DEDEF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16" authorId="0" shapeId="0" xr:uid="{FA037757-2C9B-43AD-9338-08263D8D712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FY2024: LT trade recv $1,225M + LT finance recv $13,242M, SEC EDGAR, https://www.sec.gov/Archives/edgar/data/18230/000001823025000004/cat_exx991x4qx2024xearning.htm</t>
        </r>
      </text>
    </comment>
    <comment ref="D16" authorId="0" shapeId="0" xr:uid="{172D3976-4116-4BC1-A5F0-0D7F86410451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FY2023: LT trade recv $1,238M + LT finance recv $12,664M, SEC EDGAR</t>
        </r>
      </text>
    </comment>
    <comment ref="G16" authorId="0" shapeId="0" xr:uid="{A000D51A-5B3B-4638-BBD6-571C1F01A45D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6" authorId="0" shapeId="0" xr:uid="{C177CB72-3215-4C78-8B75-62CDFAF06B8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17" authorId="0" shapeId="0" xr:uid="{EFD55803-BC91-470E-8AEA-00CFAD2A449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SEC EDGAR, https://www.sec.gov/Archives/edgar/data/18230/000001823025000004/cat_exx991x4qx2024xearning.htm</t>
        </r>
      </text>
    </comment>
    <comment ref="D17" authorId="0" shapeId="0" xr:uid="{B12E9435-B208-4E3B-95B4-AD84C3F33DC0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</t>
        </r>
      </text>
    </comment>
    <comment ref="G17" authorId="0" shapeId="0" xr:uid="{730CB927-C201-4613-A11C-FE6A9A65AA01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17" authorId="0" shapeId="0" xr:uid="{25532C04-2CC1-45F3-B63A-7CABBE089CC0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C20" authorId="0" shapeId="0" xr:uid="{DAE48935-4CCF-4E5A-8273-2D24C44B606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FY2024: Goodwill $5,241M + Intangibles $399M, SEC EDGAR earnings release, https://www.sec.gov/Archives/edgar/data/18230/000001823025000004/cat_exx991x4qx2024xearning.htm</t>
        </r>
      </text>
    </comment>
    <comment ref="D20" authorId="0" shapeId="0" xr:uid="{5A4AE0EB-4691-408F-BF71-40BCD41E2455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FY2023: Goodwill $5,308M + Intangibles $564M, SEC EDGAR</t>
        </r>
      </text>
    </comment>
    <comment ref="C21" authorId="0" shapeId="0" xr:uid="{A183F507-2AD8-4762-8294-E1D5EC8707A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FY2024, other assets (non-current), SEC EDGAR, https://www.sec.gov/Archives/edgar/data/18230/000001823025000004/cat_exx991x4qx2024xearning.htm</t>
        </r>
      </text>
    </comment>
    <comment ref="D21" authorId="0" shapeId="0" xr:uid="{5CC338D1-2A3E-443D-ADE8-94F322EDC53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Caterpillar 10-K FY2023, SEC EDGAR</t>
        </r>
      </text>
    </comment>
    <comment ref="G21" authorId="0" shapeId="0" xr:uid="{A8FC0104-4BDB-4443-9869-D660C2CE2524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EDGAR, https://www.sec.gov/Archives/edgar/data/18230/000001823025000008/cat-20241231.htm</t>
        </r>
      </text>
    </comment>
    <comment ref="H21" authorId="0" shapeId="0" xr:uid="{CDA84699-4239-40B6-AE29-A7A1D9F8A8C9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G22" authorId="0" shapeId="0" xr:uid="{1E3B0E51-9824-4202-8D81-FE1EBBF98FB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22" authorId="0" shapeId="0" xr:uid="{A1EF85E8-C528-4DFF-8CB1-841BA1050CA1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G23" authorId="0" shapeId="0" xr:uid="{FB5C20FF-9356-4D3C-97B2-2DF0FF9BFDF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 (Profit employed in the business), SEC EDGAR</t>
        </r>
      </text>
    </comment>
    <comment ref="H23" authorId="0" shapeId="0" xr:uid="{7E711107-F6C5-4D59-9306-B8B675B627AF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 (Profit employed in the business), SEC EDGAR</t>
        </r>
      </text>
    </comment>
    <comment ref="G24" authorId="0" shapeId="0" xr:uid="{24708545-A849-4240-A273-7DAFF16442F4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24" authorId="0" shapeId="0" xr:uid="{C5F52DC2-B78B-48CD-B2FE-23053AA5DAF2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  <comment ref="G25" authorId="0" shapeId="0" xr:uid="{1540885A-7844-4211-B1E0-F24C623E225E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FY2024, SEC EDGAR</t>
        </r>
      </text>
    </comment>
    <comment ref="H25" authorId="0" shapeId="0" xr:uid="{5493D405-3BB3-4FBD-8E02-6E23F90CB309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FY2023, SEC EDGAR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6" authorId="0" shapeId="0" xr:uid="{D7A27CB3-46D1-4AFD-9C2B-563C447CD1F4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Caterpillar 10-K FY2024 — SGA expenses, SEC EDGAR, https://www.sec.gov/Archives/edgar/data/18230/000001823025000008/cat-20241231.htm</t>
        </r>
      </text>
    </comment>
  </commentList>
</comments>
</file>

<file path=xl/sharedStrings.xml><?xml version="1.0" encoding="utf-8"?>
<sst xmlns="http://schemas.openxmlformats.org/spreadsheetml/2006/main" count="321" uniqueCount="288">
  <si>
    <t>Balance Sheet — Caterpillar Inc. (CAT)</t>
  </si>
  <si>
    <t>ASSETS</t>
  </si>
  <si>
    <t>FY2024 (Dec 31, 2024)</t>
  </si>
  <si>
    <t>FY2023 (Dec 31, 2023)</t>
  </si>
  <si>
    <t>LIABILITIES &amp; EQUITY</t>
  </si>
  <si>
    <t>(All figures in $millions)</t>
  </si>
  <si>
    <t>Current Assets</t>
  </si>
  <si>
    <t>Current Liabilities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</si>
  <si>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</si>
  <si>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</si>
  <si>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</si>
  <si>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</si>
  <si>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</si>
  <si>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</si>
  <si>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</si>
  <si>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</si>
  <si>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</si>
  <si>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</si>
  <si>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</si>
  <si>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</si>
  <si>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Intangible assets (goodwill)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</si>
  <si>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</si>
  <si>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</si>
  <si>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</si>
  <si>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</si>
  <si>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</si>
  <si>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Caterpillar 10-K FY2024, SEC EDGAR</t>
  </si>
  <si>
    <t>Income Statement — Caterpillar Inc. (CAT)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</si>
  <si>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</si>
  <si>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</si>
  <si>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</si>
  <si>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</si>
  <si>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</si>
  <si>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</si>
  <si>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</si>
  <si>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</si>
  <si>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</si>
  <si>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</si>
  <si>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</si>
  <si>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</si>
  <si>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</si>
  <si>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</si>
  <si>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</si>
  <si>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Caterpillar Inc. (CAT)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</si>
  <si>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</si>
  <si>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</si>
  <si>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</si>
  <si>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</si>
  <si>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</si>
  <si>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</si>
  <si>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</si>
  <si>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</si>
  <si>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</si>
  <si>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</si>
  <si>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</si>
  <si>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</si>
  <si>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</si>
  <si>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</si>
  <si>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</si>
  <si>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</si>
  <si>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</si>
  <si>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</si>
  <si>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</si>
  <si>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</si>
  <si>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</si>
  <si>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</si>
  <si>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</si>
  <si>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</si>
  <si>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</si>
  <si>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</si>
  <si>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Caterpillar Inc. (CAT)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</si>
  <si>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</si>
  <si>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</si>
  <si>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</si>
  <si>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</si>
  <si>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</si>
  <si>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</si>
  <si>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</si>
  <si>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</si>
  <si>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</si>
  <si>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</si>
  <si>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</si>
  <si>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</si>
  <si>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</si>
  <si>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</si>
  <si>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</si>
  <si>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</si>
  <si>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</si>
  <si>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</si>
  <si>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</si>
  <si>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</si>
  <si>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</si>
  <si>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</si>
  <si>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</si>
  <si>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</si>
  <si>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</si>
  <si>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</si>
  <si>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</si>
  <si>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</si>
  <si>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</si>
  <si>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</si>
  <si>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</si>
  <si>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</si>
  <si>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</si>
  <si>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</si>
  <si>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</si>
  <si>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</si>
  <si>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</si>
  <si>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</si>
  <si>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</si>
  <si>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</si>
  <si>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</si>
  <si>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</si>
  <si>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</si>
  <si>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</si>
  <si>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</si>
  <si>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</si>
  <si>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</si>
  <si>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</si>
  <si>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</si>
  <si>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</si>
  <si>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</si>
  <si>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</si>
  <si>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</si>
  <si>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</si>
  <si>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</si>
  <si>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</si>
  <si>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</si>
  <si>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</si>
  <si>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</si>
  <si>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</si>
  <si>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</si>
  <si>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</si>
  <si>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</si>
  <si>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</si>
  <si>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</si>
  <si>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</si>
  <si>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</si>
  <si>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</si>
  <si>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</si>
  <si>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</si>
  <si>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</si>
  <si>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</si>
  <si>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</si>
  <si>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</si>
  <si>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</si>
  <si>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</si>
  <si>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</si>
  <si>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</si>
  <si>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</si>
  <si>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</si>
  <si>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</si>
  <si>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</si>
  <si>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</si>
  <si>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</si>
  <si>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</si>
  <si>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</si>
  <si>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</si>
  <si>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</si>
  <si>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</si>
  <si>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</si>
  <si>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</si>
  <si>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</si>
  <si>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</si>
  <si>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</si>
  <si>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</si>
  <si>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</si>
  <si>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</si>
  <si>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</si>
  <si>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</si>
  <si>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</si>
  <si>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</si>
  <si>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</si>
  <si>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</si>
  <si>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</si>
  <si>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</si>
  <si>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</si>
  <si>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</si>
  <si>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</si>
  <si>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</si>
  <si>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</si>
  <si>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</si>
  <si>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</si>
  <si>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</si>
  <si>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</si>
  <si>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</si>
  <si>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</si>
  <si>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</si>
  <si>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</si>
  <si>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</si>
  <si>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</si>
  <si>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</si>
  <si>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</si>
  <si>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</si>
  <si>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</si>
  <si>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</si>
  <si>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</si>
  <si>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</si>
  <si>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</si>
  <si>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</si>
  <si>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</si>
  <si>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</si>
  <si>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</si>
  <si>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</si>
  <si>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</si>
  <si>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</si>
  <si>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</si>
  <si>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</si>
  <si>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</si>
  <si>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</si>
  <si>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</si>
  <si>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</si>
  <si>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</si>
  <si>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</si>
  <si>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</si>
  <si>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</si>
  <si>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</si>
  <si>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</si>
  <si>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</si>
  <si>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</si>
  <si>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</si>
  <si>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</si>
  <si>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</si>
  <si>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</si>
  <si>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</si>
  <si>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</si>
  <si>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</si>
  <si>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</si>
  <si>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</si>
  <si>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</si>
  <si>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</si>
  <si>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</si>
  <si>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</si>
  <si>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</si>
  <si>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</si>
  <si>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</si>
  <si>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</si>
  <si>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</si>
  <si>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Caterpillar Inc. (CAT)</t>
  </si>
  <si>
    <t>Company:</t>
  </si>
  <si>
    <t>Caterpillar Inc.</t>
  </si>
  <si>
    <t>Ticker:</t>
  </si>
  <si>
    <t>CAT</t>
  </si>
  <si>
    <t>Industry:</t>
  </si>
  <si>
    <t>Industrials – Heavy Machinery &amp; Equipment</t>
  </si>
  <si>
    <t>Fiscal Year (current):</t>
  </si>
  <si>
    <t>Fiscal Year (prior):</t>
  </si>
  <si>
    <t>Data Source:</t>
  </si>
  <si>
    <t>Caterpillar 10-K FY2024, SEC EDGAR</t>
  </si>
  <si>
    <t>Units:</t>
  </si>
  <si>
    <t>All figures in millions of US dollars unless otherwise noted.</t>
  </si>
  <si>
    <t>Tax Rate:</t>
  </si>
  <si>
    <t>21.4% — use as analyst assumption (adjust to effective rate if preferred)</t>
  </si>
  <si>
    <t>Cost of Capital:</t>
  </si>
  <si>
    <t>7.9% — estimated WACC; students may refine using CAPM + class methodology</t>
  </si>
  <si>
    <t>Share Price:</t>
  </si>
  <si>
    <t>$349.58 — end-of-fiscal-year closing price</t>
  </si>
  <si>
    <t>Shares Outstanding:</t>
  </si>
  <si>
    <t>492M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</si>
  <si>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</si>
  <si>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</si>
  <si>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</si>
  <si>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</si>
  <si>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</si>
  <si>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</si>
  <si>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</si>
  <si>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</si>
  <si>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</si>
  <si>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</si>
  <si>
    <t xml:space="preserve">   Cash and cash equivalents</t>
  </si>
  <si>
    <t xml:space="preserve">   Receivables — trade and other</t>
  </si>
  <si>
    <t xml:space="preserve">   Receivables — finance (Cat Financial)</t>
  </si>
  <si>
    <t xml:space="preserve">   Long-term receivables — trade and finance</t>
  </si>
  <si>
    <t xml:space="preserve">   Deferred income taxes (noncurrent)</t>
  </si>
  <si>
    <t xml:space="preserve">   Short-term borrowings</t>
  </si>
  <si>
    <t xml:space="preserve">   Accrued expenses</t>
  </si>
  <si>
    <t xml:space="preserve">   Accrued wages, salaries &amp; benefits</t>
  </si>
  <si>
    <t xml:space="preserve">   Customer advances</t>
  </si>
  <si>
    <t xml:space="preserve">   Dividends payable</t>
  </si>
  <si>
    <t xml:space="preserve">   Long-term debt due within one year</t>
  </si>
  <si>
    <t xml:space="preserve">   Long-term debt due after one year</t>
  </si>
  <si>
    <t xml:space="preserve">   Liability for postemployment benefits</t>
  </si>
  <si>
    <t xml:space="preserve">   Other liabilities</t>
  </si>
  <si>
    <t xml:space="preserve">   Common stock</t>
  </si>
  <si>
    <t xml:space="preserve">   Treasury stock</t>
  </si>
  <si>
    <t xml:space="preserve">   Profit employed in the business</t>
  </si>
  <si>
    <t xml:space="preserve">   Accumulated other comprehensive income (loss)</t>
  </si>
  <si>
    <t xml:space="preserve">   Noncontrolling interests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</si>
</sst>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7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20" fillId="11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2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3" borderId="0" xfId="0" applyNumberFormat="1" applyFont="1" applyFill="1" applyAlignment="1">
      <alignment horizontal="right" vertical="center"/>
    </xf>
    <xf numFmtId="3" fontId="19" fillId="11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6" fontId="19" fillId="13" borderId="0" xfId="0" applyNumberFormat="1" applyFont="1" applyFill="1"/>
    <xf numFmtId="3" fontId="19" fillId="11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4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1" borderId="0" xfId="0" applyNumberFormat="1" applyFont="1" applyFill="1" applyAlignment="1">
      <alignment horizontal="right" vertical="center"/>
    </xf>
    <xf numFmtId="167" fontId="19" fillId="11" borderId="0" xfId="0" applyNumberFormat="1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3" fontId="18" fillId="11" borderId="0" xfId="0" applyNumberFormat="1" applyFont="1" applyFill="1" applyAlignment="1">
      <alignment horizontal="right" vertical="center"/>
    </xf>
    <xf numFmtId="3" fontId="20" fillId="11" borderId="0" xfId="0" applyNumberFormat="1" applyFont="1" applyFill="1" applyAlignment="1">
      <alignment horizontal="right" vertical="center"/>
    </xf>
    <xf numFmtId="0" fontId="3" fillId="15" borderId="0" xfId="0" applyFont="1" applyFill="1" applyAlignment="1">
      <alignment horizontal="left"/>
    </xf>
    <xf numFmtId="0" fontId="6" fillId="16" borderId="0" xfId="0" applyFont="1" applyFill="1" applyAlignment="1">
      <alignment horizontal="left"/>
    </xf>
    <xf numFmtId="0" fontId="8" fillId="17" borderId="0" xfId="0" applyFont="1" applyFill="1" applyAlignment="1">
      <alignment horizontal="left"/>
    </xf>
    <xf numFmtId="0" fontId="9" fillId="18" borderId="0" xfId="0" applyFont="1" applyFill="1" applyAlignment="1">
      <alignment horizontal="left"/>
    </xf>
    <xf numFmtId="0" fontId="0" fillId="15" borderId="0" xfId="0" applyFill="1"/>
    <xf numFmtId="164" fontId="7" fillId="19" borderId="2" xfId="0" applyNumberFormat="1" applyFont="1" applyFill="1" applyBorder="1" applyAlignment="1">
      <alignment horizontal="right"/>
    </xf>
    <xf numFmtId="164" fontId="7" fillId="19" borderId="4" xfId="0" applyNumberFormat="1" applyFont="1" applyFill="1" applyBorder="1" applyAlignment="1">
      <alignment horizontal="right"/>
    </xf>
    <xf numFmtId="3" fontId="8" fillId="20" borderId="3" xfId="0" applyNumberFormat="1" applyFont="1" applyFill="1" applyBorder="1" applyAlignment="1">
      <alignment horizontal="right"/>
    </xf>
    <xf numFmtId="3" fontId="8" fillId="20" borderId="1" xfId="0" applyNumberFormat="1" applyFont="1" applyFill="1" applyBorder="1" applyAlignment="1">
      <alignment horizontal="right"/>
    </xf>
    <xf numFmtId="3" fontId="3" fillId="18" borderId="3" xfId="0" applyNumberFormat="1" applyFont="1" applyFill="1" applyBorder="1" applyAlignment="1">
      <alignment horizontal="right"/>
    </xf>
    <xf numFmtId="3" fontId="3" fillId="18" borderId="1" xfId="0" applyNumberFormat="1" applyFont="1" applyFill="1" applyBorder="1" applyAlignment="1">
      <alignment horizontal="right"/>
    </xf>
    <xf numFmtId="4" fontId="12" fillId="10" borderId="1" xfId="0" applyNumberFormat="1" applyFont="1" applyFill="1" applyBorder="1" applyAlignment="1">
      <alignment horizontal="center" vertical="center"/>
    </xf>
    <xf numFmtId="3" fontId="12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B321D0-7801-4C9A-B995-8E915AA02B7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fe9f014-5643-4129-bfee-c84d167e5ba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J21" sqref="J21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19.5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6.5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6.5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6.5" x14ac:dyDescent="0.45">
      <c r="A4" s="1"/>
      <c r="B4" s="7" t="s">
        <v>6</v>
      </c>
      <c r="C4" s="8"/>
      <c r="D4" s="8"/>
      <c r="E4" s="5"/>
      <c r="F4" s="45" t="s">
        <v>7</v>
      </c>
      <c r="G4" s="49"/>
      <c r="H4" s="49"/>
    </row>
    <row r="5" spans="1:8" ht="16.5" x14ac:dyDescent="0.45">
      <c r="A5" s="1"/>
      <c r="B5" s="9" t="s">
        <v>269</v>
      </c>
      <c r="C5" s="10">
        <v>6889</v>
      </c>
      <c r="D5" s="10">
        <v>6978</v>
      </c>
      <c r="E5" s="5"/>
      <c r="F5" s="46" t="s">
        <v>274</v>
      </c>
      <c r="G5" s="50">
        <v>4393</v>
      </c>
      <c r="H5" s="51">
        <v>4643</v>
      </c>
    </row>
    <row r="6" spans="1:8" ht="16.5" x14ac:dyDescent="0.45">
      <c r="A6" s="1"/>
      <c r="B6" s="9" t="s">
        <v>270</v>
      </c>
      <c r="C6" s="10">
        <v>9282</v>
      </c>
      <c r="D6" s="10">
        <v>9310</v>
      </c>
      <c r="E6" s="5"/>
      <c r="F6" s="46" t="s">
        <v>8</v>
      </c>
      <c r="G6" s="50">
        <v>7675</v>
      </c>
      <c r="H6" s="51">
        <v>7906</v>
      </c>
    </row>
    <row r="7" spans="1:8" ht="16.5" x14ac:dyDescent="0.45">
      <c r="A7" s="1"/>
      <c r="B7" s="9" t="s">
        <v>271</v>
      </c>
      <c r="C7" s="10">
        <v>9565</v>
      </c>
      <c r="D7" s="10">
        <v>9510</v>
      </c>
      <c r="E7" s="5"/>
      <c r="F7" s="46" t="s">
        <v>275</v>
      </c>
      <c r="G7" s="50">
        <v>5243</v>
      </c>
      <c r="H7" s="51">
        <v>4958</v>
      </c>
    </row>
    <row r="8" spans="1:8" ht="16.5" x14ac:dyDescent="0.45">
      <c r="A8" s="1"/>
      <c r="B8" s="9" t="s">
        <v>9</v>
      </c>
      <c r="C8" s="10">
        <v>16827</v>
      </c>
      <c r="D8" s="10">
        <v>16565</v>
      </c>
      <c r="E8" s="5"/>
      <c r="F8" s="46" t="s">
        <v>276</v>
      </c>
      <c r="G8" s="50">
        <v>2391</v>
      </c>
      <c r="H8" s="51">
        <v>2757</v>
      </c>
    </row>
    <row r="9" spans="1:8" ht="16.5" x14ac:dyDescent="0.45">
      <c r="A9" s="1"/>
      <c r="B9" s="9" t="s">
        <v>11</v>
      </c>
      <c r="C9" s="10">
        <v>3119</v>
      </c>
      <c r="D9" s="10">
        <v>4586</v>
      </c>
      <c r="E9" s="5"/>
      <c r="F9" s="46" t="s">
        <v>277</v>
      </c>
      <c r="G9" s="50">
        <v>2322</v>
      </c>
      <c r="H9" s="51">
        <v>1929</v>
      </c>
    </row>
    <row r="10" spans="1:8" ht="16.5" x14ac:dyDescent="0.45">
      <c r="A10" s="1"/>
      <c r="B10" s="11" t="s">
        <v>13</v>
      </c>
      <c r="C10" s="12">
        <f>SUM(C5:C9)</f>
        <v>45682</v>
      </c>
      <c r="D10" s="12">
        <f>SUM(D5:D9)</f>
        <v>46949</v>
      </c>
      <c r="E10" s="5"/>
      <c r="F10" s="46" t="s">
        <v>278</v>
      </c>
      <c r="G10" s="50">
        <v>674</v>
      </c>
      <c r="H10" s="51">
        <v>649</v>
      </c>
    </row>
    <row r="11" spans="1:8" ht="16.5" x14ac:dyDescent="0.45">
      <c r="A11" s="1"/>
      <c r="B11" s="1"/>
      <c r="C11" s="1"/>
      <c r="D11" s="1"/>
      <c r="E11" s="5"/>
      <c r="F11" s="46" t="s">
        <v>10</v>
      </c>
      <c r="G11" s="50">
        <v>2909</v>
      </c>
      <c r="H11" s="51">
        <v>3123</v>
      </c>
    </row>
    <row r="12" spans="1:8" ht="16.5" x14ac:dyDescent="0.45">
      <c r="A12" s="1"/>
      <c r="B12" s="7" t="s">
        <v>14</v>
      </c>
      <c r="C12" s="8">
        <v>22574</v>
      </c>
      <c r="D12" s="8">
        <v>21497</v>
      </c>
      <c r="E12" s="5"/>
      <c r="F12" s="46" t="s">
        <v>279</v>
      </c>
      <c r="G12" s="50">
        <v>6665</v>
      </c>
      <c r="H12" s="51">
        <v>8763</v>
      </c>
    </row>
    <row r="13" spans="1:8" ht="16.5" x14ac:dyDescent="0.45">
      <c r="A13" s="1"/>
      <c r="B13" s="9" t="s">
        <v>15</v>
      </c>
      <c r="C13" s="10">
        <v>9213</v>
      </c>
      <c r="D13" s="10">
        <v>8817</v>
      </c>
      <c r="E13" s="5"/>
      <c r="F13" s="47" t="s">
        <v>12</v>
      </c>
      <c r="G13" s="52">
        <f>SUM(G5:G12)</f>
        <v>32272</v>
      </c>
      <c r="H13" s="53">
        <f>SUM(H5:H12)</f>
        <v>34728</v>
      </c>
    </row>
    <row r="14" spans="1:8" ht="16.5" x14ac:dyDescent="0.45">
      <c r="A14" s="1"/>
      <c r="B14" s="9" t="s">
        <v>17</v>
      </c>
      <c r="C14" s="10">
        <f>C12-C13</f>
        <v>13361</v>
      </c>
      <c r="D14" s="10">
        <f>D12-D13</f>
        <v>12680</v>
      </c>
      <c r="E14" s="5"/>
    </row>
    <row r="15" spans="1:8" ht="16.5" x14ac:dyDescent="0.45">
      <c r="A15" s="1"/>
      <c r="B15" s="11"/>
      <c r="C15" s="12"/>
      <c r="D15" s="12"/>
      <c r="E15" s="5"/>
      <c r="F15" s="46" t="s">
        <v>280</v>
      </c>
      <c r="G15" s="50">
        <v>27351</v>
      </c>
      <c r="H15" s="51">
        <v>24472</v>
      </c>
    </row>
    <row r="16" spans="1:8" ht="16.5" x14ac:dyDescent="0.45">
      <c r="A16" s="1"/>
      <c r="B16" s="11" t="s">
        <v>272</v>
      </c>
      <c r="C16" s="43">
        <v>14467</v>
      </c>
      <c r="D16" s="43">
        <v>13902</v>
      </c>
      <c r="E16" s="5"/>
      <c r="F16" s="46" t="s">
        <v>281</v>
      </c>
      <c r="G16" s="50">
        <v>3757</v>
      </c>
      <c r="H16" s="51">
        <v>4098</v>
      </c>
    </row>
    <row r="17" spans="1:8" ht="16.5" x14ac:dyDescent="0.45">
      <c r="A17" s="1"/>
      <c r="B17" s="11" t="s">
        <v>273</v>
      </c>
      <c r="C17" s="43">
        <v>3312</v>
      </c>
      <c r="D17" s="43">
        <v>2816</v>
      </c>
      <c r="E17" s="5"/>
      <c r="F17" s="46" t="s">
        <v>282</v>
      </c>
      <c r="G17" s="50">
        <v>4890</v>
      </c>
      <c r="H17" s="51">
        <v>4675</v>
      </c>
    </row>
    <row r="18" spans="1:8" ht="16.5" x14ac:dyDescent="0.45">
      <c r="A18" s="1"/>
      <c r="B18" s="1"/>
      <c r="C18" s="1"/>
      <c r="D18" s="1"/>
      <c r="E18" s="5"/>
      <c r="F18" s="47" t="s">
        <v>16</v>
      </c>
      <c r="G18" s="52">
        <f>G13+G15+G16+G17</f>
        <v>68270</v>
      </c>
      <c r="H18" s="53">
        <f>H13+H15+H16+H17</f>
        <v>67973</v>
      </c>
    </row>
    <row r="19" spans="1:8" ht="16.5" x14ac:dyDescent="0.45">
      <c r="A19" s="1"/>
      <c r="B19" s="7" t="s">
        <v>19</v>
      </c>
      <c r="C19" s="8"/>
      <c r="D19" s="8"/>
      <c r="E19" s="5"/>
    </row>
    <row r="20" spans="1:8" ht="16.5" x14ac:dyDescent="0.45">
      <c r="A20" s="1"/>
      <c r="B20" s="9" t="s">
        <v>20</v>
      </c>
      <c r="C20" s="10">
        <v>5640</v>
      </c>
      <c r="D20" s="10">
        <v>5872</v>
      </c>
      <c r="E20" s="5"/>
      <c r="F20" s="45" t="s">
        <v>18</v>
      </c>
      <c r="G20" s="49"/>
      <c r="H20" s="49"/>
    </row>
    <row r="21" spans="1:8" ht="16.5" x14ac:dyDescent="0.45">
      <c r="A21" s="1"/>
      <c r="B21" s="9" t="s">
        <v>21</v>
      </c>
      <c r="C21" s="10">
        <v>5302</v>
      </c>
      <c r="D21" s="10">
        <v>5257</v>
      </c>
      <c r="E21" s="5"/>
      <c r="F21" s="46" t="s">
        <v>283</v>
      </c>
      <c r="G21" s="50">
        <v>6941</v>
      </c>
      <c r="H21" s="51">
        <v>6403</v>
      </c>
    </row>
    <row r="22" spans="1:8" ht="16.5" x14ac:dyDescent="0.45">
      <c r="A22" s="1"/>
      <c r="B22" s="9" t="s">
        <v>21</v>
      </c>
      <c r="C22" s="13">
        <f>SUM(C20:C21)</f>
        <v>10942</v>
      </c>
      <c r="D22" s="13">
        <f>SUM(D20:D21)</f>
        <v>11129</v>
      </c>
      <c r="E22" s="5"/>
      <c r="F22" s="46" t="s">
        <v>284</v>
      </c>
      <c r="G22" s="50">
        <v>-44331</v>
      </c>
      <c r="H22" s="51">
        <v>-36339</v>
      </c>
    </row>
    <row r="23" spans="1:8" ht="16.5" x14ac:dyDescent="0.45">
      <c r="A23" s="1"/>
      <c r="B23" s="9"/>
      <c r="C23" s="44"/>
      <c r="D23" s="44"/>
      <c r="E23" s="5"/>
      <c r="F23" s="46" t="s">
        <v>285</v>
      </c>
      <c r="G23" s="50">
        <v>59352</v>
      </c>
      <c r="H23" s="51">
        <v>51250</v>
      </c>
    </row>
    <row r="24" spans="1:8" ht="16.5" x14ac:dyDescent="0.45">
      <c r="A24" s="1"/>
      <c r="B24" s="9"/>
      <c r="C24" s="44"/>
      <c r="D24" s="44"/>
      <c r="E24" s="5"/>
      <c r="F24" s="46" t="s">
        <v>286</v>
      </c>
      <c r="G24" s="50">
        <v>-2471</v>
      </c>
      <c r="H24" s="51">
        <v>-1820</v>
      </c>
    </row>
    <row r="25" spans="1:8" ht="16.5" x14ac:dyDescent="0.45">
      <c r="A25" s="1"/>
      <c r="B25" s="9"/>
      <c r="C25" s="44"/>
      <c r="D25" s="44"/>
      <c r="E25" s="5"/>
      <c r="F25" s="46" t="s">
        <v>287</v>
      </c>
      <c r="G25" s="50">
        <v>3</v>
      </c>
      <c r="H25" s="51">
        <v>9</v>
      </c>
    </row>
    <row r="26" spans="1:8" ht="16.5" x14ac:dyDescent="0.45">
      <c r="A26" s="1"/>
      <c r="B26" s="1"/>
      <c r="C26" s="1"/>
      <c r="D26" s="1"/>
      <c r="E26" s="5"/>
      <c r="F26" s="47" t="s">
        <v>22</v>
      </c>
      <c r="G26" s="52">
        <f>SUM(G21:G25)</f>
        <v>19494</v>
      </c>
      <c r="H26" s="53">
        <f>SUM(H21:H25)</f>
        <v>19503</v>
      </c>
    </row>
    <row r="27" spans="1:8" ht="16.5" x14ac:dyDescent="0.45">
      <c r="A27" s="1"/>
      <c r="B27" s="14" t="s">
        <v>23</v>
      </c>
      <c r="C27" s="15">
        <f>C10+C14+C16+C17+C22</f>
        <v>87764</v>
      </c>
      <c r="D27" s="15">
        <f>D10+D14+D16+D17+D22</f>
        <v>87476</v>
      </c>
      <c r="E27" s="5"/>
    </row>
    <row r="28" spans="1:8" ht="16.5" x14ac:dyDescent="0.45">
      <c r="A28" s="1"/>
      <c r="B28" s="16" t="s">
        <v>25</v>
      </c>
      <c r="C28" s="17">
        <f>C27-G28</f>
        <v>0</v>
      </c>
      <c r="D28" s="1"/>
      <c r="E28" s="1"/>
      <c r="F28" s="48" t="s">
        <v>24</v>
      </c>
      <c r="G28" s="54">
        <f>G18+G26</f>
        <v>87764</v>
      </c>
      <c r="H28" s="55">
        <f>H18+H26</f>
        <v>87476</v>
      </c>
    </row>
    <row r="29" spans="1:8" ht="16.5" x14ac:dyDescent="0.45">
      <c r="A29" s="1"/>
      <c r="B29" s="18" t="s">
        <v>26</v>
      </c>
      <c r="C29" s="1"/>
      <c r="D29" s="1"/>
      <c r="E29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27</v>
      </c>
      <c r="C1" s="1"/>
      <c r="D1" s="1"/>
    </row>
    <row r="2" spans="1:4" ht="18" customHeight="1" x14ac:dyDescent="0.45">
      <c r="A2" s="1"/>
      <c r="B2" s="19" t="s">
        <v>28</v>
      </c>
      <c r="C2" s="19" t="s">
        <v>2</v>
      </c>
      <c r="D2" s="19" t="s">
        <v>29</v>
      </c>
    </row>
    <row r="3" spans="1:4" ht="12" customHeight="1" x14ac:dyDescent="0.45">
      <c r="A3" s="1"/>
      <c r="B3" s="20" t="s">
        <v>5</v>
      </c>
      <c r="C3" s="1"/>
      <c r="D3" s="1"/>
    </row>
    <row r="4" spans="1:4" ht="15" customHeight="1" x14ac:dyDescent="0.45">
      <c r="A4" s="1"/>
      <c r="B4" s="9" t="s">
        <v>30</v>
      </c>
      <c r="C4" s="21">
        <v>64809</v>
      </c>
      <c r="D4" s="22">
        <f t="shared" ref="D4:D19" si="0">IF(C$4=0,0,C4/C$4)</f>
        <v>1</v>
      </c>
    </row>
    <row r="5" spans="1:4" ht="15" customHeight="1" x14ac:dyDescent="0.45">
      <c r="A5" s="1"/>
      <c r="B5" s="9" t="s">
        <v>31</v>
      </c>
      <c r="C5" s="21">
        <v>43244</v>
      </c>
      <c r="D5" s="22">
        <f t="shared" si="0"/>
        <v>0.66725300498387574</v>
      </c>
    </row>
    <row r="6" spans="1:4" ht="15" customHeight="1" x14ac:dyDescent="0.45">
      <c r="A6" s="1"/>
      <c r="B6" s="9" t="s">
        <v>32</v>
      </c>
      <c r="C6" s="23">
        <v>5965</v>
      </c>
      <c r="D6" s="22">
        <f t="shared" si="0"/>
        <v>9.2039685846101615E-2</v>
      </c>
    </row>
    <row r="7" spans="1:4" ht="15" customHeight="1" x14ac:dyDescent="0.45">
      <c r="A7" s="1"/>
      <c r="B7" s="9" t="s">
        <v>33</v>
      </c>
      <c r="C7" s="21">
        <v>1413</v>
      </c>
      <c r="D7" s="24">
        <f t="shared" si="0"/>
        <v>2.1802527426746286E-2</v>
      </c>
    </row>
    <row r="8" spans="1:4" ht="15" customHeight="1" x14ac:dyDescent="0.45">
      <c r="A8" s="1"/>
      <c r="B8" s="11" t="s">
        <v>34</v>
      </c>
      <c r="C8" s="25">
        <f>C4-C5-C6-C7</f>
        <v>14187</v>
      </c>
      <c r="D8" s="22">
        <f t="shared" si="0"/>
        <v>0.21890478174327641</v>
      </c>
    </row>
    <row r="9" spans="1:4" ht="6" customHeight="1" x14ac:dyDescent="0.45">
      <c r="A9" s="1"/>
      <c r="B9" s="1"/>
      <c r="C9" s="1"/>
      <c r="D9" s="26">
        <f t="shared" si="0"/>
        <v>0</v>
      </c>
    </row>
    <row r="10" spans="1:4" ht="15" customHeight="1" x14ac:dyDescent="0.45">
      <c r="A10" s="1"/>
      <c r="B10" s="9" t="s">
        <v>35</v>
      </c>
      <c r="C10" s="21">
        <v>2116</v>
      </c>
      <c r="D10" s="22">
        <f t="shared" si="0"/>
        <v>3.264978629511333E-2</v>
      </c>
    </row>
    <row r="11" spans="1:4" ht="15" customHeight="1" x14ac:dyDescent="0.45">
      <c r="A11" s="1"/>
      <c r="B11" s="9" t="s">
        <v>36</v>
      </c>
      <c r="C11" s="21">
        <v>1713</v>
      </c>
      <c r="D11" s="24">
        <f t="shared" si="0"/>
        <v>2.6431514141554414E-2</v>
      </c>
    </row>
    <row r="12" spans="1:4" ht="15" customHeight="1" x14ac:dyDescent="0.45">
      <c r="A12" s="1"/>
      <c r="B12" s="11" t="s">
        <v>37</v>
      </c>
      <c r="C12" s="23">
        <f>C8+C10-C11</f>
        <v>14590</v>
      </c>
      <c r="D12" s="22">
        <f t="shared" si="0"/>
        <v>0.22512305389683532</v>
      </c>
    </row>
    <row r="13" spans="1:4" ht="6" customHeight="1" x14ac:dyDescent="0.45">
      <c r="A13" s="1"/>
      <c r="B13" s="1"/>
      <c r="C13" s="1"/>
      <c r="D13" s="26">
        <f t="shared" si="0"/>
        <v>0</v>
      </c>
    </row>
    <row r="14" spans="1:4" ht="15" customHeight="1" x14ac:dyDescent="0.45">
      <c r="A14" s="1"/>
      <c r="B14" s="9" t="s">
        <v>38</v>
      </c>
      <c r="C14" s="21">
        <v>2944</v>
      </c>
      <c r="D14" s="24">
        <f t="shared" si="0"/>
        <v>4.542578962798377E-2</v>
      </c>
    </row>
    <row r="15" spans="1:4" ht="15" customHeight="1" x14ac:dyDescent="0.45">
      <c r="A15" s="1"/>
      <c r="B15" s="11" t="s">
        <v>39</v>
      </c>
      <c r="C15" s="23">
        <f>C12-C14</f>
        <v>11646</v>
      </c>
      <c r="D15" s="22">
        <f t="shared" si="0"/>
        <v>0.17969726426885155</v>
      </c>
    </row>
    <row r="16" spans="1:4" ht="6" customHeight="1" x14ac:dyDescent="0.45">
      <c r="A16" s="1"/>
      <c r="B16" s="1"/>
      <c r="C16" s="1"/>
      <c r="D16" s="26">
        <f t="shared" si="0"/>
        <v>0</v>
      </c>
    </row>
    <row r="17" spans="1:4" ht="15.75" customHeight="1" x14ac:dyDescent="0.45">
      <c r="A17" s="1"/>
      <c r="B17" s="7" t="s">
        <v>40</v>
      </c>
      <c r="C17" s="27">
        <f>C15-C16</f>
        <v>11646</v>
      </c>
      <c r="D17" s="26">
        <f t="shared" si="0"/>
        <v>0.17969726426885155</v>
      </c>
    </row>
    <row r="18" spans="1:4" ht="15" customHeight="1" x14ac:dyDescent="0.45">
      <c r="A18" s="1"/>
      <c r="B18" s="9" t="s">
        <v>41</v>
      </c>
      <c r="C18" s="21">
        <v>2736</v>
      </c>
      <c r="D18" s="22">
        <f t="shared" si="0"/>
        <v>4.221635883905013E-2</v>
      </c>
    </row>
    <row r="19" spans="1:4" ht="15" customHeight="1" x14ac:dyDescent="0.45">
      <c r="A19" s="1"/>
      <c r="B19" s="9" t="s">
        <v>42</v>
      </c>
      <c r="C19" s="23">
        <f>C17-C18</f>
        <v>8910</v>
      </c>
      <c r="D19" s="22">
        <f t="shared" si="0"/>
        <v>0.1374809054298014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0" t="s">
        <v>26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43</v>
      </c>
      <c r="C1" s="1"/>
      <c r="D1" s="1"/>
    </row>
    <row r="2" spans="1:4" ht="18" customHeight="1" x14ac:dyDescent="0.45">
      <c r="A2" s="1"/>
      <c r="B2" s="19" t="s">
        <v>28</v>
      </c>
      <c r="C2" s="19" t="s">
        <v>2</v>
      </c>
      <c r="D2" s="19" t="s">
        <v>44</v>
      </c>
    </row>
    <row r="3" spans="1:4" ht="12" customHeight="1" x14ac:dyDescent="0.45">
      <c r="A3" s="1"/>
      <c r="B3" s="20" t="s">
        <v>5</v>
      </c>
      <c r="C3" s="1"/>
      <c r="D3" s="1"/>
    </row>
    <row r="4" spans="1:4" ht="15.75" customHeight="1" x14ac:dyDescent="0.45">
      <c r="A4" s="1"/>
      <c r="B4" s="7" t="s">
        <v>45</v>
      </c>
      <c r="C4" s="8"/>
      <c r="D4" s="8"/>
    </row>
    <row r="5" spans="1:4" ht="15" customHeight="1" x14ac:dyDescent="0.45">
      <c r="A5" s="1"/>
      <c r="B5" s="9" t="s">
        <v>39</v>
      </c>
      <c r="C5" s="21">
        <v>11646</v>
      </c>
      <c r="D5" s="28" t="s">
        <v>46</v>
      </c>
    </row>
    <row r="6" spans="1:4" ht="15" customHeight="1" x14ac:dyDescent="0.45">
      <c r="A6" s="1"/>
      <c r="B6" s="9" t="s">
        <v>47</v>
      </c>
      <c r="C6" s="21">
        <v>1413</v>
      </c>
      <c r="D6" s="28" t="s">
        <v>46</v>
      </c>
    </row>
    <row r="7" spans="1:4" ht="15" customHeight="1" x14ac:dyDescent="0.45">
      <c r="A7" s="1"/>
      <c r="B7" s="9" t="s">
        <v>48</v>
      </c>
      <c r="C7" s="21"/>
      <c r="D7" s="28"/>
    </row>
    <row r="8" spans="1:4" ht="15" customHeight="1" x14ac:dyDescent="0.45">
      <c r="A8" s="1"/>
      <c r="B8" s="9" t="s">
        <v>49</v>
      </c>
      <c r="C8" s="21">
        <f>-('Balance Sheet'!C6-'Balance Sheet'!D6)</f>
        <v>28</v>
      </c>
      <c r="D8" s="28" t="s">
        <v>50</v>
      </c>
    </row>
    <row r="9" spans="1:4" ht="15" customHeight="1" x14ac:dyDescent="0.45">
      <c r="A9" s="1"/>
      <c r="B9" s="9" t="s">
        <v>51</v>
      </c>
      <c r="C9" s="21">
        <f>-('Balance Sheet'!C8-'Balance Sheet'!D8)</f>
        <v>-262</v>
      </c>
      <c r="D9" s="28" t="s">
        <v>50</v>
      </c>
    </row>
    <row r="10" spans="1:4" ht="15" customHeight="1" x14ac:dyDescent="0.45">
      <c r="A10" s="1"/>
      <c r="B10" s="9" t="s">
        <v>52</v>
      </c>
      <c r="C10" s="21">
        <f>-('Balance Sheet'!C9-'Balance Sheet'!D9)</f>
        <v>1467</v>
      </c>
      <c r="D10" s="28" t="s">
        <v>50</v>
      </c>
    </row>
    <row r="11" spans="1:4" ht="15" customHeight="1" x14ac:dyDescent="0.45">
      <c r="A11" s="1"/>
      <c r="B11" s="9" t="s">
        <v>53</v>
      </c>
      <c r="C11" s="21">
        <f>'Balance Sheet'!G6-'Balance Sheet'!H6</f>
        <v>-231</v>
      </c>
      <c r="D11" s="28" t="s">
        <v>50</v>
      </c>
    </row>
    <row r="12" spans="1:4" ht="15" customHeight="1" x14ac:dyDescent="0.45">
      <c r="A12" s="1"/>
      <c r="B12" s="9" t="s">
        <v>54</v>
      </c>
      <c r="C12" s="21">
        <f>SUM('Balance Sheet'!G7:G11)-SUM('Balance Sheet'!H7:H11)</f>
        <v>123</v>
      </c>
      <c r="D12" s="28" t="s">
        <v>50</v>
      </c>
    </row>
    <row r="13" spans="1:4" ht="15" customHeight="1" x14ac:dyDescent="0.45">
      <c r="A13" s="1"/>
      <c r="B13" s="11" t="s">
        <v>55</v>
      </c>
      <c r="C13" s="23">
        <f>SUM(C8:C12)</f>
        <v>1125</v>
      </c>
      <c r="D13" s="28"/>
    </row>
    <row r="14" spans="1:4" ht="15" customHeight="1" x14ac:dyDescent="0.45">
      <c r="A14" s="1"/>
      <c r="B14" s="11" t="s">
        <v>56</v>
      </c>
      <c r="C14" s="23">
        <f>C5+C6+C13</f>
        <v>14184</v>
      </c>
      <c r="D14" s="28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57</v>
      </c>
      <c r="C16" s="8"/>
      <c r="D16" s="8"/>
    </row>
    <row r="17" spans="1:4" ht="15" customHeight="1" x14ac:dyDescent="0.45">
      <c r="A17" s="1"/>
      <c r="B17" s="9" t="s">
        <v>58</v>
      </c>
      <c r="C17" s="21">
        <v>-1702</v>
      </c>
      <c r="D17" s="28"/>
    </row>
    <row r="18" spans="1:4" ht="15" customHeight="1" x14ac:dyDescent="0.45">
      <c r="A18" s="1"/>
      <c r="B18" s="9" t="s">
        <v>59</v>
      </c>
      <c r="C18" s="21">
        <v>298</v>
      </c>
      <c r="D18" s="28"/>
    </row>
    <row r="19" spans="1:4" ht="15" customHeight="1" x14ac:dyDescent="0.45">
      <c r="A19" s="1"/>
      <c r="B19" s="9" t="s">
        <v>60</v>
      </c>
      <c r="C19" s="21">
        <v>-782</v>
      </c>
      <c r="D19" s="28"/>
    </row>
    <row r="20" spans="1:4" ht="15" customHeight="1" x14ac:dyDescent="0.45">
      <c r="A20" s="1"/>
      <c r="B20" s="11" t="s">
        <v>61</v>
      </c>
      <c r="C20" s="23">
        <f>SUM(C17:C19)</f>
        <v>-2186</v>
      </c>
      <c r="D20" s="28"/>
    </row>
    <row r="21" spans="1:4" ht="6" customHeight="1" x14ac:dyDescent="0.45">
      <c r="A21" s="1"/>
      <c r="B21" s="1"/>
      <c r="C21" s="1"/>
      <c r="D21" s="1"/>
    </row>
    <row r="22" spans="1:4" ht="15.75" customHeight="1" x14ac:dyDescent="0.45">
      <c r="A22" s="1"/>
      <c r="B22" s="7" t="s">
        <v>62</v>
      </c>
      <c r="C22" s="8"/>
      <c r="D22" s="8"/>
    </row>
    <row r="23" spans="1:4" ht="15" customHeight="1" x14ac:dyDescent="0.45">
      <c r="A23" s="1"/>
      <c r="B23" s="9" t="s">
        <v>63</v>
      </c>
      <c r="C23" s="21">
        <v>689</v>
      </c>
      <c r="D23" s="28"/>
    </row>
    <row r="24" spans="1:4" ht="15" customHeight="1" x14ac:dyDescent="0.45">
      <c r="A24" s="1"/>
      <c r="B24" s="9" t="s">
        <v>64</v>
      </c>
      <c r="C24" s="21">
        <v>-61</v>
      </c>
      <c r="D24" s="28"/>
    </row>
    <row r="25" spans="1:4" ht="15" customHeight="1" x14ac:dyDescent="0.45">
      <c r="A25" s="1"/>
      <c r="B25" s="9" t="s">
        <v>65</v>
      </c>
      <c r="C25" s="21">
        <v>-2736</v>
      </c>
      <c r="D25" s="28"/>
    </row>
    <row r="26" spans="1:4" ht="15" customHeight="1" x14ac:dyDescent="0.45">
      <c r="A26" s="1"/>
      <c r="B26" s="9" t="s">
        <v>66</v>
      </c>
      <c r="C26" s="21">
        <v>-7839</v>
      </c>
      <c r="D26" s="28"/>
    </row>
    <row r="27" spans="1:4" ht="15" customHeight="1" x14ac:dyDescent="0.45">
      <c r="A27" s="1"/>
      <c r="B27" s="9" t="s">
        <v>67</v>
      </c>
      <c r="C27" s="21">
        <v>-327</v>
      </c>
      <c r="D27" s="28"/>
    </row>
    <row r="28" spans="1:4" ht="15" customHeight="1" x14ac:dyDescent="0.45">
      <c r="A28" s="1"/>
      <c r="B28" s="11" t="s">
        <v>68</v>
      </c>
      <c r="C28" s="23">
        <f>SUM(C23:C27)</f>
        <v>-10274</v>
      </c>
      <c r="D28" s="28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69</v>
      </c>
      <c r="C30" s="23">
        <f>C14+C20+C28</f>
        <v>1724</v>
      </c>
      <c r="D30" s="28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0" t="s">
        <v>26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50" activePane="bottomRight" state="frozen"/>
      <selection pane="topRight"/>
      <selection pane="bottomLeft"/>
      <selection pane="bottomRight" activeCell="C86" sqref="C86"/>
    </sheetView>
  </sheetViews>
  <sheetFormatPr defaultColWidth="8.6328125" defaultRowHeight="14.5" x14ac:dyDescent="0.35"/>
  <cols>
    <col min="1" max="1" width="2" customWidth="1"/>
    <col min="2" max="2" width="38" customWidth="1"/>
    <col min="3" max="3" width="28" bestFit="1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70</v>
      </c>
      <c r="C1" s="1"/>
      <c r="D1" s="1"/>
      <c r="E1" s="1"/>
    </row>
    <row r="2" spans="1:5" ht="18" customHeight="1" x14ac:dyDescent="0.45">
      <c r="A2" s="1"/>
      <c r="B2" s="19" t="s">
        <v>71</v>
      </c>
      <c r="C2" s="19" t="s">
        <v>72</v>
      </c>
      <c r="D2" s="19" t="s">
        <v>73</v>
      </c>
      <c r="E2" s="19" t="s">
        <v>74</v>
      </c>
    </row>
    <row r="3" spans="1:5" ht="15" customHeight="1" x14ac:dyDescent="0.45">
      <c r="A3" s="1"/>
      <c r="B3" s="9" t="s">
        <v>75</v>
      </c>
      <c r="C3" s="29">
        <v>2024</v>
      </c>
      <c r="D3" s="30"/>
      <c r="E3" s="31" t="s">
        <v>76</v>
      </c>
    </row>
    <row r="4" spans="1:5" ht="15" customHeight="1" x14ac:dyDescent="0.45">
      <c r="A4" s="1"/>
      <c r="B4" s="9" t="s">
        <v>77</v>
      </c>
      <c r="C4" s="29">
        <v>2023</v>
      </c>
      <c r="D4" s="30" t="s">
        <v>78</v>
      </c>
      <c r="E4" s="31" t="s">
        <v>79</v>
      </c>
    </row>
    <row r="5" spans="1:5" ht="15" customHeight="1" x14ac:dyDescent="0.45">
      <c r="A5" s="1"/>
      <c r="B5" s="9" t="s">
        <v>80</v>
      </c>
      <c r="C5" s="29">
        <v>349.58</v>
      </c>
      <c r="D5" s="30"/>
      <c r="E5" s="31" t="s">
        <v>81</v>
      </c>
    </row>
    <row r="6" spans="1:5" ht="15" customHeight="1" x14ac:dyDescent="0.45">
      <c r="A6" s="1"/>
      <c r="B6" s="9" t="s">
        <v>82</v>
      </c>
      <c r="C6" s="29">
        <v>492</v>
      </c>
      <c r="D6" s="30"/>
      <c r="E6" s="31" t="s">
        <v>83</v>
      </c>
    </row>
    <row r="7" spans="1:5" ht="15" customHeight="1" x14ac:dyDescent="0.45">
      <c r="A7" s="1"/>
      <c r="B7" s="9" t="s">
        <v>84</v>
      </c>
      <c r="C7" s="29">
        <v>7.9000000000000001E-2</v>
      </c>
      <c r="D7" s="30"/>
      <c r="E7" s="31" t="s">
        <v>85</v>
      </c>
    </row>
    <row r="8" spans="1:5" ht="15" customHeight="1" x14ac:dyDescent="0.45">
      <c r="A8" s="1"/>
      <c r="B8" s="9" t="s">
        <v>86</v>
      </c>
      <c r="C8" s="29">
        <v>0.214</v>
      </c>
      <c r="D8" s="30"/>
      <c r="E8" s="31" t="s">
        <v>87</v>
      </c>
    </row>
    <row r="9" spans="1:5" ht="15" customHeight="1" x14ac:dyDescent="0.45">
      <c r="A9" s="1"/>
      <c r="B9" s="9" t="s">
        <v>88</v>
      </c>
      <c r="C9" s="32">
        <f>C5*C6</f>
        <v>171993.36</v>
      </c>
      <c r="D9" s="30" t="s">
        <v>89</v>
      </c>
      <c r="E9" s="31" t="s">
        <v>90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91</v>
      </c>
      <c r="C11" s="8"/>
      <c r="D11" s="8"/>
      <c r="E11" s="8"/>
    </row>
    <row r="12" spans="1:5" ht="15" customHeight="1" x14ac:dyDescent="0.45">
      <c r="A12" s="1"/>
      <c r="B12" s="9" t="s">
        <v>92</v>
      </c>
      <c r="C12" s="23">
        <f>'Balance Sheet'!H22</f>
        <v>-36339</v>
      </c>
      <c r="D12" s="30" t="s">
        <v>93</v>
      </c>
      <c r="E12" s="31" t="s">
        <v>94</v>
      </c>
    </row>
    <row r="13" spans="1:5" ht="15" customHeight="1" x14ac:dyDescent="0.45">
      <c r="A13" s="1"/>
      <c r="B13" s="9" t="s">
        <v>95</v>
      </c>
      <c r="C13" s="23">
        <f>'Balance Sheet'!D8</f>
        <v>16565</v>
      </c>
      <c r="D13" s="30" t="s">
        <v>96</v>
      </c>
      <c r="E13" s="31" t="s">
        <v>97</v>
      </c>
    </row>
    <row r="14" spans="1:5" ht="15" customHeight="1" x14ac:dyDescent="0.45">
      <c r="A14" s="1"/>
      <c r="B14" s="9" t="s">
        <v>98</v>
      </c>
      <c r="C14" s="23">
        <f>'Balance Sheet'!D6</f>
        <v>9310</v>
      </c>
      <c r="D14" s="30" t="s">
        <v>99</v>
      </c>
      <c r="E14" s="31" t="s">
        <v>100</v>
      </c>
    </row>
    <row r="15" spans="1:5" ht="15" customHeight="1" x14ac:dyDescent="0.45">
      <c r="A15" s="1"/>
      <c r="B15" s="9" t="s">
        <v>101</v>
      </c>
      <c r="C15" s="23">
        <f>'Balance Sheet'!D27</f>
        <v>87476</v>
      </c>
      <c r="D15" s="30" t="s">
        <v>102</v>
      </c>
      <c r="E15" s="31" t="s">
        <v>103</v>
      </c>
    </row>
    <row r="16" spans="1:5" ht="15" customHeight="1" x14ac:dyDescent="0.45">
      <c r="A16" s="1"/>
      <c r="B16" s="9" t="s">
        <v>104</v>
      </c>
      <c r="C16" s="23">
        <f>'Balance Sheet'!H11+'Balance Sheet'!H22</f>
        <v>-33216</v>
      </c>
      <c r="D16" s="30" t="s">
        <v>105</v>
      </c>
      <c r="E16" s="31" t="s">
        <v>106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107</v>
      </c>
      <c r="C18" s="8"/>
      <c r="D18" s="8"/>
      <c r="E18" s="8"/>
    </row>
    <row r="19" spans="1:5" ht="15" customHeight="1" x14ac:dyDescent="0.45">
      <c r="A19" s="1"/>
      <c r="B19" s="9" t="s">
        <v>108</v>
      </c>
      <c r="C19" s="33">
        <f>'Income Statement'!C17+(1-C8)*'Income Statement'!C13</f>
        <v>11646</v>
      </c>
      <c r="D19" s="30" t="s">
        <v>109</v>
      </c>
      <c r="E19" s="31" t="s">
        <v>110</v>
      </c>
    </row>
    <row r="20" spans="1:5" ht="15" customHeight="1" x14ac:dyDescent="0.45">
      <c r="A20" s="1"/>
      <c r="B20" s="9" t="s">
        <v>111</v>
      </c>
      <c r="C20" s="32">
        <f>'Income Statement'!C4/365</f>
        <v>177.55890410958904</v>
      </c>
      <c r="D20" s="30" t="s">
        <v>112</v>
      </c>
      <c r="E20" s="31" t="s">
        <v>113</v>
      </c>
    </row>
    <row r="21" spans="1:5" ht="15" customHeight="1" x14ac:dyDescent="0.45">
      <c r="A21" s="1"/>
      <c r="B21" s="9" t="s">
        <v>114</v>
      </c>
      <c r="C21" s="23">
        <f>'Balance Sheet'!G22</f>
        <v>-44331</v>
      </c>
      <c r="D21" s="30" t="s">
        <v>115</v>
      </c>
      <c r="E21" s="31" t="s">
        <v>116</v>
      </c>
    </row>
    <row r="22" spans="1:5" ht="15" customHeight="1" x14ac:dyDescent="0.45">
      <c r="A22" s="1"/>
      <c r="B22" s="9" t="s">
        <v>117</v>
      </c>
      <c r="C22" s="23">
        <f>'Balance Sheet'!C5</f>
        <v>6889</v>
      </c>
      <c r="D22" s="30" t="s">
        <v>118</v>
      </c>
      <c r="E22" s="31" t="s">
        <v>119</v>
      </c>
    </row>
    <row r="23" spans="1:5" ht="15" customHeight="1" x14ac:dyDescent="0.45">
      <c r="A23" s="1"/>
      <c r="B23" s="9" t="s">
        <v>120</v>
      </c>
      <c r="C23" s="23">
        <f>'Balance Sheet'!C10</f>
        <v>45682</v>
      </c>
      <c r="D23" s="30" t="s">
        <v>121</v>
      </c>
      <c r="E23" s="31" t="s">
        <v>122</v>
      </c>
    </row>
    <row r="24" spans="1:5" ht="15" customHeight="1" x14ac:dyDescent="0.45">
      <c r="A24" s="1"/>
      <c r="B24" s="9" t="s">
        <v>123</v>
      </c>
      <c r="C24" s="23">
        <f>'Balance Sheet'!G9</f>
        <v>2322</v>
      </c>
      <c r="D24" s="30" t="s">
        <v>124</v>
      </c>
      <c r="E24" s="31" t="s">
        <v>125</v>
      </c>
    </row>
    <row r="25" spans="1:5" ht="15" customHeight="1" x14ac:dyDescent="0.45">
      <c r="A25" s="1"/>
      <c r="B25" s="9" t="s">
        <v>126</v>
      </c>
      <c r="C25" s="32">
        <f>'Income Statement'!C5/365</f>
        <v>118.47671232876712</v>
      </c>
      <c r="D25" s="30" t="s">
        <v>127</v>
      </c>
      <c r="E25" s="31" t="s">
        <v>128</v>
      </c>
    </row>
    <row r="26" spans="1:5" ht="15" customHeight="1" x14ac:dyDescent="0.45">
      <c r="A26" s="1"/>
      <c r="B26" s="9" t="s">
        <v>129</v>
      </c>
      <c r="C26" s="23">
        <f>'Balance Sheet'!G11</f>
        <v>2909</v>
      </c>
      <c r="D26" s="30" t="s">
        <v>130</v>
      </c>
      <c r="E26" s="31" t="s">
        <v>131</v>
      </c>
    </row>
    <row r="27" spans="1:5" ht="15" customHeight="1" x14ac:dyDescent="0.45">
      <c r="A27" s="1"/>
      <c r="B27" s="9" t="s">
        <v>132</v>
      </c>
      <c r="C27" s="23">
        <f>'Balance Sheet'!C10-'Balance Sheet'!G9</f>
        <v>43360</v>
      </c>
      <c r="D27" s="30" t="s">
        <v>133</v>
      </c>
      <c r="E27" s="31" t="s">
        <v>134</v>
      </c>
    </row>
    <row r="28" spans="1:5" ht="15" customHeight="1" x14ac:dyDescent="0.45">
      <c r="A28" s="1"/>
      <c r="B28" s="9" t="s">
        <v>135</v>
      </c>
      <c r="C28" s="23">
        <f>'Balance Sheet'!C27</f>
        <v>87764</v>
      </c>
      <c r="D28" s="30" t="s">
        <v>136</v>
      </c>
      <c r="E28" s="31" t="s">
        <v>137</v>
      </c>
    </row>
    <row r="29" spans="1:5" ht="15" customHeight="1" x14ac:dyDescent="0.45">
      <c r="A29" s="1"/>
      <c r="B29" s="9" t="s">
        <v>138</v>
      </c>
      <c r="C29" s="23">
        <f>'Balance Sheet'!G11+'Balance Sheet'!G22</f>
        <v>-41422</v>
      </c>
      <c r="D29" s="30" t="s">
        <v>139</v>
      </c>
      <c r="E29" s="31" t="s">
        <v>140</v>
      </c>
    </row>
    <row r="30" spans="1:5" ht="15" customHeight="1" x14ac:dyDescent="0.45">
      <c r="A30" s="1"/>
      <c r="B30" s="9" t="s">
        <v>141</v>
      </c>
      <c r="C30" s="23">
        <f>'Balance Sheet'!G14</f>
        <v>0</v>
      </c>
      <c r="D30" s="30" t="s">
        <v>142</v>
      </c>
      <c r="E30" s="31" t="s">
        <v>143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144</v>
      </c>
      <c r="C32" s="8"/>
      <c r="D32" s="8"/>
      <c r="E32" s="8"/>
    </row>
    <row r="33" spans="1:5" ht="15" customHeight="1" x14ac:dyDescent="0.45">
      <c r="A33" s="1"/>
      <c r="B33" s="9" t="s">
        <v>145</v>
      </c>
      <c r="C33" s="23">
        <f>AVERAGE(C12,C21)</f>
        <v>-40335</v>
      </c>
      <c r="D33" s="30" t="s">
        <v>146</v>
      </c>
      <c r="E33" s="31" t="s">
        <v>147</v>
      </c>
    </row>
    <row r="34" spans="1:5" ht="15" customHeight="1" x14ac:dyDescent="0.45">
      <c r="A34" s="1"/>
      <c r="B34" s="9" t="s">
        <v>148</v>
      </c>
      <c r="C34" s="23">
        <f>AVERAGE(C15,C28)</f>
        <v>87620</v>
      </c>
      <c r="D34" s="30" t="s">
        <v>149</v>
      </c>
      <c r="E34" s="31" t="s">
        <v>150</v>
      </c>
    </row>
    <row r="35" spans="1:5" ht="15" customHeight="1" x14ac:dyDescent="0.45">
      <c r="A35" s="1"/>
      <c r="B35" s="9" t="s">
        <v>151</v>
      </c>
      <c r="C35" s="23">
        <f>AVERAGE(C16,C29)</f>
        <v>-37319</v>
      </c>
      <c r="D35" s="30" t="s">
        <v>152</v>
      </c>
      <c r="E35" s="31" t="s">
        <v>153</v>
      </c>
    </row>
    <row r="36" spans="1:5" ht="15" customHeight="1" x14ac:dyDescent="0.45">
      <c r="A36" s="1"/>
      <c r="B36" s="9" t="s">
        <v>154</v>
      </c>
      <c r="C36" s="23">
        <f>C26+C21</f>
        <v>-41422</v>
      </c>
      <c r="D36" s="30" t="s">
        <v>155</v>
      </c>
      <c r="E36" s="31" t="s">
        <v>156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19" t="s">
        <v>157</v>
      </c>
      <c r="C39" s="19" t="s">
        <v>158</v>
      </c>
      <c r="D39" s="19" t="s">
        <v>159</v>
      </c>
      <c r="E39" s="19" t="s">
        <v>74</v>
      </c>
    </row>
    <row r="40" spans="1:5" ht="15.75" customHeight="1" x14ac:dyDescent="0.45">
      <c r="A40" s="1"/>
      <c r="B40" s="7" t="s">
        <v>160</v>
      </c>
      <c r="C40" s="8"/>
      <c r="D40" s="8"/>
      <c r="E40" s="8"/>
    </row>
    <row r="41" spans="1:5" ht="15" customHeight="1" x14ac:dyDescent="0.45">
      <c r="A41" s="1"/>
      <c r="B41" s="9" t="s">
        <v>161</v>
      </c>
      <c r="C41" s="56">
        <f>C9-C21</f>
        <v>216324.36</v>
      </c>
      <c r="D41" s="30" t="s">
        <v>162</v>
      </c>
      <c r="E41" s="31"/>
    </row>
    <row r="42" spans="1:5" ht="15" customHeight="1" x14ac:dyDescent="0.45">
      <c r="A42" s="1"/>
      <c r="B42" s="9" t="s">
        <v>163</v>
      </c>
      <c r="C42" s="34">
        <f>C9/C21</f>
        <v>-3.8797536712458549</v>
      </c>
      <c r="D42" s="30" t="s">
        <v>164</v>
      </c>
      <c r="E42" s="31"/>
    </row>
    <row r="43" spans="1:5" ht="15" customHeight="1" x14ac:dyDescent="0.45">
      <c r="A43" s="1"/>
      <c r="B43" s="9" t="s">
        <v>165</v>
      </c>
      <c r="C43" s="34">
        <f>C19-(C7 *C16)</f>
        <v>14270.064</v>
      </c>
      <c r="D43" s="30" t="s">
        <v>166</v>
      </c>
      <c r="E43" s="31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167</v>
      </c>
      <c r="C45" s="8"/>
      <c r="D45" s="8"/>
      <c r="E45" s="8"/>
    </row>
    <row r="46" spans="1:5" ht="15" customHeight="1" x14ac:dyDescent="0.45">
      <c r="A46" s="1"/>
      <c r="B46" s="9" t="s">
        <v>168</v>
      </c>
      <c r="C46" s="34">
        <f>C19/C15</f>
        <v>0.13313365951803924</v>
      </c>
      <c r="D46" s="30" t="s">
        <v>169</v>
      </c>
      <c r="E46" s="31"/>
    </row>
    <row r="47" spans="1:5" ht="15" customHeight="1" x14ac:dyDescent="0.45">
      <c r="A47" s="1"/>
      <c r="B47" s="9" t="s">
        <v>170</v>
      </c>
      <c r="C47" s="34">
        <f>C19/C16</f>
        <v>-0.350614161849711</v>
      </c>
      <c r="D47" s="30" t="s">
        <v>171</v>
      </c>
      <c r="E47" s="31"/>
    </row>
    <row r="48" spans="1:5" ht="15" customHeight="1" x14ac:dyDescent="0.45">
      <c r="A48" s="1"/>
      <c r="B48" s="9" t="s">
        <v>172</v>
      </c>
      <c r="C48" s="34">
        <f>'Income Statement'!C15/C12</f>
        <v>-0.32048212664079911</v>
      </c>
      <c r="D48" s="30" t="s">
        <v>173</v>
      </c>
      <c r="E48" s="31"/>
    </row>
    <row r="49" spans="1:5" ht="15" customHeight="1" x14ac:dyDescent="0.45">
      <c r="A49" s="1"/>
      <c r="B49" s="9" t="s">
        <v>174</v>
      </c>
      <c r="C49" s="34">
        <f>C19/C34</f>
        <v>0.13291485962109106</v>
      </c>
      <c r="D49" s="30" t="s">
        <v>175</v>
      </c>
      <c r="E49" s="31"/>
    </row>
    <row r="50" spans="1:5" ht="15" customHeight="1" x14ac:dyDescent="0.45">
      <c r="A50" s="1"/>
      <c r="B50" s="9" t="s">
        <v>176</v>
      </c>
      <c r="C50" s="34">
        <f>C19/C35</f>
        <v>-0.31206623971703423</v>
      </c>
      <c r="D50" s="30" t="s">
        <v>177</v>
      </c>
      <c r="E50" s="31"/>
    </row>
    <row r="51" spans="1:5" ht="15" customHeight="1" x14ac:dyDescent="0.45">
      <c r="A51" s="1"/>
      <c r="B51" s="9" t="s">
        <v>178</v>
      </c>
      <c r="C51" s="57">
        <f>'Income Statement'!C15/C33</f>
        <v>-0.28873187058386018</v>
      </c>
      <c r="D51" s="30" t="s">
        <v>179</v>
      </c>
      <c r="E51" s="31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180</v>
      </c>
      <c r="C53" s="8"/>
      <c r="D53" s="8"/>
      <c r="E53" s="8"/>
    </row>
    <row r="54" spans="1:5" ht="15" customHeight="1" x14ac:dyDescent="0.45">
      <c r="A54" s="1"/>
      <c r="B54" s="9" t="s">
        <v>181</v>
      </c>
      <c r="C54" s="34">
        <f>'Income Statement'!C4/startYear_total_assets</f>
        <v>0.74087749782797563</v>
      </c>
      <c r="D54" s="30" t="s">
        <v>182</v>
      </c>
      <c r="E54" s="31" t="s">
        <v>183</v>
      </c>
    </row>
    <row r="55" spans="1:5" ht="15" customHeight="1" x14ac:dyDescent="0.45">
      <c r="A55" s="1"/>
      <c r="B55" s="9" t="s">
        <v>184</v>
      </c>
      <c r="C55" s="34">
        <f>'Income Statement'!C4/startYear_receivables</f>
        <v>6.9612244897959181</v>
      </c>
      <c r="D55" s="30" t="s">
        <v>185</v>
      </c>
      <c r="E55" s="31"/>
    </row>
    <row r="56" spans="1:5" ht="15" customHeight="1" x14ac:dyDescent="0.45">
      <c r="A56" s="1"/>
      <c r="B56" s="9" t="s">
        <v>186</v>
      </c>
      <c r="C56" s="34">
        <f>startYear_receivables/currentYear_daily_sales_average</f>
        <v>52.433304016417473</v>
      </c>
      <c r="D56" s="30" t="s">
        <v>187</v>
      </c>
      <c r="E56" s="31"/>
    </row>
    <row r="57" spans="1:5" ht="15" customHeight="1" x14ac:dyDescent="0.45">
      <c r="A57" s="1"/>
      <c r="B57" s="9" t="s">
        <v>188</v>
      </c>
      <c r="C57" s="34">
        <f>'Income Statement'!C5/startYear_inventory</f>
        <v>2.6105644431029278</v>
      </c>
      <c r="D57" s="30" t="s">
        <v>189</v>
      </c>
      <c r="E57" s="31"/>
    </row>
    <row r="58" spans="1:5" ht="15" customHeight="1" x14ac:dyDescent="0.45">
      <c r="A58" s="1"/>
      <c r="B58" s="9" t="s">
        <v>190</v>
      </c>
      <c r="C58" s="34">
        <f>startYear_inventory/currentYear_cost_goods_sold_daily</f>
        <v>139.81650633613913</v>
      </c>
      <c r="D58" s="30" t="s">
        <v>191</v>
      </c>
      <c r="E58" s="31"/>
    </row>
    <row r="59" spans="1:5" ht="15" customHeight="1" x14ac:dyDescent="0.45">
      <c r="A59" s="1"/>
      <c r="B59" s="9" t="s">
        <v>192</v>
      </c>
      <c r="C59" s="57">
        <f>'Income Statement'!C15/'Income Statement'!C4</f>
        <v>0.17969726426885155</v>
      </c>
      <c r="D59" s="30" t="s">
        <v>193</v>
      </c>
      <c r="E59" s="31"/>
    </row>
    <row r="60" spans="1:5" ht="15" customHeight="1" x14ac:dyDescent="0.45">
      <c r="A60" s="1"/>
      <c r="B60" s="9" t="s">
        <v>194</v>
      </c>
      <c r="C60" s="34">
        <f>currentYear_after_tax_operating_income/'Income Statement'!C4</f>
        <v>0.17969726426885155</v>
      </c>
      <c r="D60" s="30" t="s">
        <v>195</v>
      </c>
      <c r="E60" s="31" t="s">
        <v>196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197</v>
      </c>
      <c r="C62" s="8"/>
      <c r="D62" s="8"/>
      <c r="E62" s="8"/>
    </row>
    <row r="63" spans="1:5" ht="15" customHeight="1" x14ac:dyDescent="0.45">
      <c r="A63" s="1"/>
      <c r="B63" s="9" t="s">
        <v>198</v>
      </c>
      <c r="C63" s="34">
        <f>currentYear_debt_long_term/(currentYear_debt_long_term+currentYear_equity)</f>
        <v>-7.0228381053546424E-2</v>
      </c>
      <c r="D63" s="30" t="s">
        <v>199</v>
      </c>
      <c r="E63" s="31"/>
    </row>
    <row r="64" spans="1:5" ht="15" customHeight="1" x14ac:dyDescent="0.45">
      <c r="A64" s="1"/>
      <c r="B64" s="9" t="s">
        <v>200</v>
      </c>
      <c r="C64" s="34">
        <f>currentYear_debt_long_term/currentYear_equity</f>
        <v>-6.561999503733279E-2</v>
      </c>
      <c r="D64" s="30" t="s">
        <v>201</v>
      </c>
      <c r="E64" s="31"/>
    </row>
    <row r="65" spans="1:5" ht="15" customHeight="1" x14ac:dyDescent="0.45">
      <c r="A65" s="1"/>
      <c r="B65" s="9" t="s">
        <v>202</v>
      </c>
      <c r="C65" s="34">
        <f>currentYear_liabilities_total/currentYear_assets_total</f>
        <v>0</v>
      </c>
      <c r="D65" s="30" t="s">
        <v>203</v>
      </c>
      <c r="E65" s="31"/>
    </row>
    <row r="66" spans="1:5" ht="15" customHeight="1" x14ac:dyDescent="0.45">
      <c r="A66" s="1"/>
      <c r="B66" s="9" t="s">
        <v>204</v>
      </c>
      <c r="C66" s="34">
        <f>'Income Statement'!C8/'Income Statement'!C11</f>
        <v>8.2819614711033278</v>
      </c>
      <c r="D66" s="30" t="s">
        <v>205</v>
      </c>
      <c r="E66" s="31"/>
    </row>
    <row r="67" spans="1:5" ht="15" customHeight="1" x14ac:dyDescent="0.45">
      <c r="A67" s="1"/>
      <c r="B67" s="9" t="s">
        <v>206</v>
      </c>
      <c r="C67" s="57">
        <f>('Income Statement'!C8+'Income Statement'!C7) /'Income Statement'!C11</f>
        <v>9.1068301225919441</v>
      </c>
      <c r="D67" s="30" t="s">
        <v>207</v>
      </c>
      <c r="E67" s="31"/>
    </row>
    <row r="68" spans="1:5" ht="15" customHeight="1" x14ac:dyDescent="0.45">
      <c r="A68" s="1"/>
      <c r="B68" s="9" t="s">
        <v>208</v>
      </c>
      <c r="C68" s="57">
        <f>'Income Statement'!C15/currentYear_after_tax_operating_income</f>
        <v>1</v>
      </c>
      <c r="D68" s="30" t="s">
        <v>209</v>
      </c>
      <c r="E68" s="31" t="s">
        <v>210</v>
      </c>
    </row>
    <row r="69" spans="1:5" ht="15" customHeight="1" x14ac:dyDescent="0.45">
      <c r="A69" s="1"/>
      <c r="B69" s="9" t="s">
        <v>211</v>
      </c>
      <c r="C69" s="34">
        <f>currentYear_assets_total/currentYear_equity</f>
        <v>-1.9797432947598745</v>
      </c>
      <c r="D69" s="30" t="s">
        <v>212</v>
      </c>
      <c r="E69" s="31" t="s">
        <v>213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214</v>
      </c>
      <c r="C71" s="8"/>
      <c r="D71" s="8"/>
      <c r="E71" s="8"/>
    </row>
    <row r="72" spans="1:5" ht="15" customHeight="1" x14ac:dyDescent="0.45">
      <c r="A72" s="1"/>
      <c r="B72" s="9" t="s">
        <v>215</v>
      </c>
      <c r="C72" s="34">
        <f>currentYear_working_capital_net/currentYear_assets_total</f>
        <v>0.49405223098309103</v>
      </c>
      <c r="D72" s="30" t="s">
        <v>216</v>
      </c>
      <c r="E72" s="31"/>
    </row>
    <row r="73" spans="1:5" ht="15" customHeight="1" x14ac:dyDescent="0.45">
      <c r="A73" s="1"/>
      <c r="B73" s="9" t="s">
        <v>217</v>
      </c>
      <c r="C73" s="34">
        <f>currentYear_assets_current/currentYear_liabilities_current</f>
        <v>19.673557278208442</v>
      </c>
      <c r="D73" s="30" t="s">
        <v>218</v>
      </c>
      <c r="E73" s="31"/>
    </row>
    <row r="74" spans="1:5" ht="15" customHeight="1" x14ac:dyDescent="0.45">
      <c r="A74" s="1"/>
      <c r="B74" s="9" t="s">
        <v>219</v>
      </c>
      <c r="C74" s="34">
        <f>(currentYear_cash_marketable_securities +'Balance Sheet'!C6) / currentYear_liabilities_current</f>
        <v>6.9642549526270461</v>
      </c>
      <c r="D74" s="30" t="s">
        <v>220</v>
      </c>
      <c r="E74" s="31"/>
    </row>
    <row r="75" spans="1:5" ht="15" customHeight="1" x14ac:dyDescent="0.45">
      <c r="A75" s="1"/>
      <c r="B75" s="9" t="s">
        <v>221</v>
      </c>
      <c r="C75" s="34">
        <f>currentYear_cash_marketable_securities/currentYear_liabilities_current</f>
        <v>2.9668389319552109</v>
      </c>
      <c r="D75" s="30" t="s">
        <v>222</v>
      </c>
      <c r="E75" s="31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223</v>
      </c>
      <c r="C77" s="8"/>
      <c r="D77" s="8"/>
      <c r="E77" s="8"/>
    </row>
    <row r="78" spans="1:5" ht="15" customHeight="1" x14ac:dyDescent="0.45">
      <c r="A78" s="1"/>
      <c r="B78" s="9" t="s">
        <v>224</v>
      </c>
      <c r="C78" s="34">
        <f>C54 * C60</f>
        <v>0.13313365951803924</v>
      </c>
      <c r="D78" s="30" t="s">
        <v>225</v>
      </c>
      <c r="E78" s="31"/>
    </row>
    <row r="79" spans="1:5" ht="15" customHeight="1" x14ac:dyDescent="0.45">
      <c r="A79" s="1"/>
      <c r="B79" s="35" t="s">
        <v>226</v>
      </c>
      <c r="C79" s="34">
        <f>C54</f>
        <v>0.74087749782797563</v>
      </c>
      <c r="D79" s="30" t="s">
        <v>227</v>
      </c>
      <c r="E79" s="31" t="s">
        <v>183</v>
      </c>
    </row>
    <row r="80" spans="1:5" ht="15" customHeight="1" x14ac:dyDescent="0.45">
      <c r="A80" s="1"/>
      <c r="B80" s="35" t="s">
        <v>228</v>
      </c>
      <c r="C80" s="34">
        <f>C60</f>
        <v>0.17969726426885155</v>
      </c>
      <c r="D80" s="30" t="s">
        <v>227</v>
      </c>
      <c r="E80" s="31" t="s">
        <v>196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229</v>
      </c>
      <c r="C82" s="34">
        <f>C69 * C54 * C60 * C68</f>
        <v>-0.26357046973768228</v>
      </c>
      <c r="D82" s="30" t="s">
        <v>230</v>
      </c>
      <c r="E82" s="31"/>
    </row>
    <row r="83" spans="1:5" ht="15" customHeight="1" x14ac:dyDescent="0.45">
      <c r="A83" s="1"/>
      <c r="B83" s="35" t="s">
        <v>231</v>
      </c>
      <c r="C83" s="34">
        <f>C69</f>
        <v>-1.9797432947598745</v>
      </c>
      <c r="D83" s="30" t="s">
        <v>232</v>
      </c>
      <c r="E83" s="31" t="s">
        <v>213</v>
      </c>
    </row>
    <row r="84" spans="1:5" ht="15" customHeight="1" x14ac:dyDescent="0.45">
      <c r="A84" s="1"/>
      <c r="B84" s="35" t="s">
        <v>226</v>
      </c>
      <c r="C84" s="34">
        <f>C54</f>
        <v>0.74087749782797563</v>
      </c>
      <c r="D84" s="30" t="s">
        <v>227</v>
      </c>
      <c r="E84" s="31" t="s">
        <v>183</v>
      </c>
    </row>
    <row r="85" spans="1:5" ht="15" customHeight="1" x14ac:dyDescent="0.45">
      <c r="A85" s="1"/>
      <c r="B85" s="35" t="s">
        <v>228</v>
      </c>
      <c r="C85" s="34">
        <f>C60</f>
        <v>0.17969726426885155</v>
      </c>
      <c r="D85" s="30" t="s">
        <v>227</v>
      </c>
      <c r="E85" s="31" t="s">
        <v>196</v>
      </c>
    </row>
    <row r="86" spans="1:5" ht="15" customHeight="1" x14ac:dyDescent="0.45">
      <c r="A86" s="1"/>
      <c r="B86" s="35" t="s">
        <v>233</v>
      </c>
      <c r="C86" s="57">
        <f>C68</f>
        <v>1</v>
      </c>
      <c r="D86" s="30" t="s">
        <v>232</v>
      </c>
      <c r="E86" s="31" t="s">
        <v>210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6" t="s">
        <v>234</v>
      </c>
      <c r="C89" s="37" t="s">
        <v>235</v>
      </c>
      <c r="D89" s="38" t="s">
        <v>236</v>
      </c>
      <c r="E89" s="39" t="s">
        <v>237</v>
      </c>
    </row>
    <row r="90" spans="1:5" ht="15" customHeight="1" x14ac:dyDescent="0.45">
      <c r="A90" s="1"/>
      <c r="B90" s="20" t="s">
        <v>26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40" t="s">
        <v>238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1" t="s">
        <v>239</v>
      </c>
      <c r="C3" s="42" t="s">
        <v>240</v>
      </c>
    </row>
    <row r="4" spans="1:3" ht="15" customHeight="1" x14ac:dyDescent="0.45">
      <c r="A4" s="1"/>
      <c r="B4" s="41" t="s">
        <v>241</v>
      </c>
      <c r="C4" s="42" t="s">
        <v>242</v>
      </c>
    </row>
    <row r="5" spans="1:3" ht="15" customHeight="1" x14ac:dyDescent="0.45">
      <c r="A5" s="1"/>
      <c r="B5" s="41" t="s">
        <v>243</v>
      </c>
      <c r="C5" s="42" t="s">
        <v>244</v>
      </c>
    </row>
    <row r="6" spans="1:3" ht="15" customHeight="1" x14ac:dyDescent="0.45">
      <c r="A6" s="1"/>
      <c r="B6" s="41" t="s">
        <v>245</v>
      </c>
      <c r="C6" s="42" t="s">
        <v>2</v>
      </c>
    </row>
    <row r="7" spans="1:3" ht="15" customHeight="1" x14ac:dyDescent="0.45">
      <c r="A7" s="1"/>
      <c r="B7" s="41" t="s">
        <v>246</v>
      </c>
      <c r="C7" s="42" t="s">
        <v>3</v>
      </c>
    </row>
    <row r="8" spans="1:3" ht="15" customHeight="1" x14ac:dyDescent="0.45">
      <c r="A8" s="1"/>
      <c r="B8" s="41" t="s">
        <v>247</v>
      </c>
      <c r="C8" s="42" t="s">
        <v>248</v>
      </c>
    </row>
    <row r="9" spans="1:3" ht="15" customHeight="1" x14ac:dyDescent="0.45">
      <c r="A9" s="1"/>
      <c r="B9" s="41" t="s">
        <v>249</v>
      </c>
      <c r="C9" s="42" t="s">
        <v>250</v>
      </c>
    </row>
    <row r="10" spans="1:3" ht="15" customHeight="1" x14ac:dyDescent="0.45">
      <c r="A10" s="1"/>
      <c r="B10" s="41" t="s">
        <v>251</v>
      </c>
      <c r="C10" s="42" t="s">
        <v>252</v>
      </c>
    </row>
    <row r="11" spans="1:3" ht="15" customHeight="1" x14ac:dyDescent="0.45">
      <c r="A11" s="1"/>
      <c r="B11" s="41" t="s">
        <v>253</v>
      </c>
      <c r="C11" s="42" t="s">
        <v>254</v>
      </c>
    </row>
    <row r="12" spans="1:3" ht="15" customHeight="1" x14ac:dyDescent="0.45">
      <c r="A12" s="1"/>
      <c r="B12" s="41" t="s">
        <v>255</v>
      </c>
      <c r="C12" s="42" t="s">
        <v>256</v>
      </c>
    </row>
    <row r="13" spans="1:3" ht="15" customHeight="1" x14ac:dyDescent="0.45">
      <c r="A13" s="1"/>
      <c r="B13" s="41" t="s">
        <v>257</v>
      </c>
      <c r="C13" s="42" t="s">
        <v>258</v>
      </c>
    </row>
    <row r="14" spans="1:3" ht="15" customHeight="1" x14ac:dyDescent="0.45">
      <c r="A14" s="1"/>
      <c r="B14" s="1"/>
      <c r="C14" s="42"/>
    </row>
    <row r="15" spans="1:3" ht="15" customHeight="1" x14ac:dyDescent="0.45">
      <c r="A15" s="1"/>
      <c r="B15" s="41" t="s">
        <v>259</v>
      </c>
      <c r="C15" s="42" t="s">
        <v>260</v>
      </c>
    </row>
    <row r="16" spans="1:3" ht="15" customHeight="1" x14ac:dyDescent="0.45">
      <c r="A16" s="1"/>
      <c r="B16" s="41" t="s">
        <v>261</v>
      </c>
      <c r="C16" s="42" t="s">
        <v>262</v>
      </c>
    </row>
    <row r="17" spans="1:3" ht="15" customHeight="1" x14ac:dyDescent="0.45">
      <c r="A17" s="1"/>
      <c r="B17" s="41" t="s">
        <v>263</v>
      </c>
      <c r="C17" s="42" t="s">
        <v>264</v>
      </c>
    </row>
    <row r="18" spans="1:3" ht="15" customHeight="1" x14ac:dyDescent="0.45">
      <c r="A18" s="1"/>
      <c r="B18" s="41" t="s">
        <v>265</v>
      </c>
      <c r="C18" s="42" t="s">
        <v>266</v>
      </c>
    </row>
    <row r="19" spans="1:3" ht="15" customHeight="1" x14ac:dyDescent="0.45">
      <c r="A19" s="1"/>
      <c r="B19" s="1"/>
      <c r="C19" s="42"/>
    </row>
    <row r="20" spans="1:3" ht="15" customHeight="1" x14ac:dyDescent="0.45">
      <c r="A20" s="1"/>
      <c r="B20" s="41" t="s">
        <v>267</v>
      </c>
      <c r="C20" s="42" t="s">
        <v>268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Trisha Mae Dugay</cp:lastModifiedBy>
  <cp:revision>0</cp:revision>
  <dcterms:created xsi:type="dcterms:W3CDTF">2026-03-25T17:31:22Z</dcterms:created>
  <dcterms:modified xsi:type="dcterms:W3CDTF">2026-04-18T09:36:05Z</dcterms:modified>
  <dc:language>en-US</dc:language>
</cp:coreProperties>
</file>